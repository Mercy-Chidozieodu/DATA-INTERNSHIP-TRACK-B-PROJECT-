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428EF02-D2CC-41FF-948F-9CF40070A0CF}" xr6:coauthVersionLast="47" xr6:coauthVersionMax="47" xr10:uidLastSave="{00000000-0000-0000-0000-000000000000}"/>
  <bookViews>
    <workbookView xWindow="-108" yWindow="-108" windowWidth="23256" windowHeight="12456" xr2:uid="{99A84D62-67CF-40A5-990B-6DE781829A96}"/>
  </bookViews>
  <sheets>
    <sheet name="Excel Formula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AQ7" i="1"/>
  <c r="AP7" i="1"/>
  <c r="AG7" i="1"/>
  <c r="AF7" i="1"/>
  <c r="L7" i="1"/>
  <c r="BF6" i="1"/>
  <c r="BG6" i="1" s="1"/>
  <c r="BE6" i="1"/>
  <c r="BA6" i="1"/>
  <c r="AZ6" i="1"/>
  <c r="BB6" i="1" s="1"/>
  <c r="AQ6" i="1"/>
  <c r="AR6" i="1" s="1"/>
  <c r="AP6" i="1"/>
  <c r="AL6" i="1"/>
  <c r="AK6" i="1"/>
  <c r="AG6" i="1"/>
  <c r="AH6" i="1" s="1"/>
  <c r="AF6" i="1"/>
  <c r="L6" i="1"/>
  <c r="BF5" i="1"/>
  <c r="BE5" i="1"/>
  <c r="BA5" i="1"/>
  <c r="AZ5" i="1"/>
  <c r="AV5" i="1"/>
  <c r="AU5" i="1"/>
  <c r="AQ5" i="1"/>
  <c r="AR5" i="1" s="1"/>
  <c r="AP5" i="1"/>
  <c r="AL5" i="1"/>
  <c r="AM5" i="1" s="1"/>
  <c r="AK5" i="1"/>
  <c r="AG5" i="1"/>
  <c r="AF5" i="1"/>
  <c r="AH5" i="1" s="1"/>
  <c r="L5" i="1"/>
  <c r="E5" i="1"/>
  <c r="D5" i="1"/>
  <c r="D17" i="1" s="1"/>
  <c r="C5" i="1"/>
  <c r="B5" i="1"/>
  <c r="BJ4" i="1"/>
  <c r="BF4" i="1"/>
  <c r="BG4" i="1" s="1"/>
  <c r="BE4" i="1"/>
  <c r="BA4" i="1"/>
  <c r="BB4" i="1" s="1"/>
  <c r="AZ4" i="1"/>
  <c r="AV4" i="1"/>
  <c r="AU4" i="1"/>
  <c r="AQ4" i="1"/>
  <c r="AP4" i="1"/>
  <c r="AR4" i="1" s="1"/>
  <c r="AL4" i="1"/>
  <c r="AM4" i="1" s="1"/>
  <c r="AK4" i="1"/>
  <c r="AG4" i="1"/>
  <c r="AH4" i="1" s="1"/>
  <c r="AF4" i="1"/>
  <c r="AC4" i="1"/>
  <c r="AB4" i="1"/>
  <c r="AA4" i="1"/>
  <c r="Z4" i="1"/>
  <c r="Y4" i="1"/>
  <c r="V4" i="1"/>
  <c r="S4" i="1"/>
  <c r="P4" i="1"/>
  <c r="O4" i="1"/>
  <c r="L4" i="1"/>
  <c r="E4" i="1"/>
  <c r="D4" i="1"/>
  <c r="D16" i="1" s="1"/>
  <c r="C4" i="1"/>
  <c r="B4" i="1"/>
  <c r="BJ3" i="1"/>
  <c r="BF3" i="1"/>
  <c r="BE3" i="1"/>
  <c r="BA3" i="1"/>
  <c r="BB3" i="1" s="1"/>
  <c r="AZ3" i="1"/>
  <c r="AV3" i="1"/>
  <c r="AW3" i="1" s="1"/>
  <c r="AU3" i="1"/>
  <c r="AQ3" i="1"/>
  <c r="AR3" i="1" s="1"/>
  <c r="AP3" i="1"/>
  <c r="AL3" i="1"/>
  <c r="AK3" i="1"/>
  <c r="AG3" i="1"/>
  <c r="AF3" i="1"/>
  <c r="AH3" i="1" s="1"/>
  <c r="AC3" i="1"/>
  <c r="AB3" i="1"/>
  <c r="AA3" i="1"/>
  <c r="Z3" i="1"/>
  <c r="Y3" i="1"/>
  <c r="V3" i="1"/>
  <c r="V6" i="1" s="1"/>
  <c r="S3" i="1"/>
  <c r="P3" i="1"/>
  <c r="O3" i="1"/>
  <c r="L3" i="1"/>
  <c r="I3" i="1"/>
  <c r="E3" i="1"/>
  <c r="D3" i="1"/>
  <c r="C3" i="1"/>
  <c r="B3" i="1"/>
  <c r="F3" i="1" s="1"/>
  <c r="BJ2" i="1"/>
  <c r="AM6" i="1" l="1"/>
  <c r="AW5" i="1"/>
  <c r="AW4" i="1"/>
  <c r="F5" i="1"/>
  <c r="BB5" i="1"/>
  <c r="AH7" i="1"/>
  <c r="BG3" i="1"/>
  <c r="AM3" i="1"/>
  <c r="BG5" i="1"/>
  <c r="AR7" i="1"/>
  <c r="F4" i="1"/>
  <c r="D15" i="1"/>
</calcChain>
</file>

<file path=xl/sharedStrings.xml><?xml version="1.0" encoding="utf-8"?>
<sst xmlns="http://schemas.openxmlformats.org/spreadsheetml/2006/main" count="107" uniqueCount="80">
  <si>
    <t>Attrition Rate By Dept</t>
  </si>
  <si>
    <t>XLOOKUP FORMULA</t>
  </si>
  <si>
    <t>Attrition Rate by JobRole</t>
  </si>
  <si>
    <t>Avg. Leaver v Stayer</t>
  </si>
  <si>
    <t>Overtime Attrition Analysis</t>
  </si>
  <si>
    <t>Gender Pay Comparison</t>
  </si>
  <si>
    <t xml:space="preserve"> Employee Experience Comparison</t>
  </si>
  <si>
    <t>Attrition Rate by Age Band</t>
  </si>
  <si>
    <t>Attrition Rate by Income Band</t>
  </si>
  <si>
    <t>Attrition Rate by  Tenure Band</t>
  </si>
  <si>
    <t>Attrition Rate by Stock Option Level_Label</t>
  </si>
  <si>
    <t>Attrition Rate by Work Life Balance_Label</t>
  </si>
  <si>
    <t>Attrition Rate by Job Satisfaction_Label</t>
  </si>
  <si>
    <t>High-Risk Employee Count</t>
  </si>
  <si>
    <t>Attrition Rate</t>
  </si>
  <si>
    <t>Employee Count</t>
  </si>
  <si>
    <t>Leavers</t>
  </si>
  <si>
    <t>Stayers</t>
  </si>
  <si>
    <t>Rank</t>
  </si>
  <si>
    <t>Department</t>
  </si>
  <si>
    <t>Attrition</t>
  </si>
  <si>
    <t>Avg Age</t>
  </si>
  <si>
    <t>AvgMonthlyIncome</t>
  </si>
  <si>
    <t>OverTime</t>
  </si>
  <si>
    <t>Gender</t>
  </si>
  <si>
    <t>Avg Income</t>
  </si>
  <si>
    <t>Avg Job Satisfaction</t>
  </si>
  <si>
    <t>Avg Environment Satisfaction</t>
  </si>
  <si>
    <t>Avg Job Involvement</t>
  </si>
  <si>
    <t>Avg WorkLife Bal</t>
  </si>
  <si>
    <t>Avg Compensation Ratio</t>
  </si>
  <si>
    <t>Age_Band</t>
  </si>
  <si>
    <t>Attrition_Rate</t>
  </si>
  <si>
    <t>Income_Band</t>
  </si>
  <si>
    <t>Tenure_Band</t>
  </si>
  <si>
    <t>High Risk</t>
  </si>
  <si>
    <t>Human Resources</t>
  </si>
  <si>
    <t>Sales</t>
  </si>
  <si>
    <t>Sales Executive</t>
  </si>
  <si>
    <t>Yes</t>
  </si>
  <si>
    <t>Male</t>
  </si>
  <si>
    <t>Under 25</t>
  </si>
  <si>
    <t>Under 5k</t>
  </si>
  <si>
    <t>1-3 YEARS</t>
  </si>
  <si>
    <t>None</t>
  </si>
  <si>
    <t>Bad</t>
  </si>
  <si>
    <t>Dissatisfied</t>
  </si>
  <si>
    <t>Medium Risk</t>
  </si>
  <si>
    <t>Research &amp; Development</t>
  </si>
  <si>
    <t>Research Scientist</t>
  </si>
  <si>
    <t>No</t>
  </si>
  <si>
    <t>Female</t>
  </si>
  <si>
    <t>25-34</t>
  </si>
  <si>
    <t>5k-9,999</t>
  </si>
  <si>
    <t>4-6 YEARS</t>
  </si>
  <si>
    <t>Low</t>
  </si>
  <si>
    <t>Fair</t>
  </si>
  <si>
    <t>Indifferent</t>
  </si>
  <si>
    <t>Low Risk</t>
  </si>
  <si>
    <t>Laboratory Technician</t>
  </si>
  <si>
    <t>35-44</t>
  </si>
  <si>
    <t>10k-14,999</t>
  </si>
  <si>
    <t>7-10 YEARS</t>
  </si>
  <si>
    <t>High</t>
  </si>
  <si>
    <t>Good</t>
  </si>
  <si>
    <t>Satisfied</t>
  </si>
  <si>
    <t>Manufacturing Director</t>
  </si>
  <si>
    <t>Gender Pay Gap (%Male vs Female)</t>
  </si>
  <si>
    <t>45-54</t>
  </si>
  <si>
    <t>15k-19,999</t>
  </si>
  <si>
    <t>11-15 YEARS</t>
  </si>
  <si>
    <t>Better</t>
  </si>
  <si>
    <t>Very Satisfied</t>
  </si>
  <si>
    <t>Healthcare Representative</t>
  </si>
  <si>
    <t>55+</t>
  </si>
  <si>
    <t>16+ YEARS</t>
  </si>
  <si>
    <t>Manager</t>
  </si>
  <si>
    <t>Sales Representative</t>
  </si>
  <si>
    <t>Research Director</t>
  </si>
  <si>
    <t>Attrition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</si>
</sst>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10" fontId="0" fillId="0" borderId="1" xfId="1" applyNumberFormat="1" applyFont="1" applyBorder="1"/>
    <xf numFmtId="2" fontId="0" fillId="0" borderId="1" xfId="0" applyNumberFormat="1" applyBorder="1"/>
    <xf numFmtId="9" fontId="0" fillId="0" borderId="1" xfId="1" applyFon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1" applyNumberFormat="1" applyFont="1" applyBorder="1"/>
    <xf numFmtId="165" fontId="0" fillId="0" borderId="0" xfId="1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HR_Attrition_Final.xlsx" TargetMode="External"/><Relationship Id="rId2" Type="http://schemas.openxmlformats.org/officeDocument/2006/relationships/externalLinkPath" Target="file:///C:\Users\HP\Downloads\HR_Attrition_Final.xlsx" TargetMode="External"/><Relationship Id="rId1" Type="http://schemas.openxmlformats.org/officeDocument/2006/relationships/externalLinkPath" Target="/Users/HP/Downloads/HR_Attrition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R_Attrition_Final"/>
      <sheetName val="DeptJobLevel_AvgIncome"/>
      <sheetName val="Calc_Sheet"/>
      <sheetName val="PIVOTS &amp; SLICER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0751-1B55-40D6-A772-A0EE101A93EE}">
  <dimension ref="A1:BK17"/>
  <sheetViews>
    <sheetView tabSelected="1" workbookViewId="0">
      <selection activeCell="J12" sqref="J12"/>
    </sheetView>
  </sheetViews>
  <sheetFormatPr defaultRowHeight="14.4" x14ac:dyDescent="0.3"/>
  <cols>
    <col min="1" max="1" width="21.44140625" bestFit="1" customWidth="1"/>
    <col min="2" max="2" width="11.33203125" bestFit="1" customWidth="1"/>
    <col min="3" max="3" width="14" bestFit="1" customWidth="1"/>
    <col min="4" max="4" width="15.77734375" bestFit="1" customWidth="1"/>
    <col min="5" max="7" width="14" customWidth="1"/>
    <col min="8" max="8" width="15.88671875" bestFit="1" customWidth="1"/>
    <col min="9" max="10" width="14" customWidth="1"/>
    <col min="11" max="11" width="22.6640625" bestFit="1" customWidth="1"/>
    <col min="12" max="12" width="11.33203125" bestFit="1" customWidth="1"/>
    <col min="14" max="14" width="7.33203125" bestFit="1" customWidth="1"/>
    <col min="15" max="15" width="9.77734375" customWidth="1"/>
    <col min="16" max="16" width="16.109375" bestFit="1" customWidth="1"/>
    <col min="19" max="19" width="13.33203125" customWidth="1"/>
    <col min="20" max="20" width="6.6640625" customWidth="1"/>
    <col min="21" max="21" width="14" bestFit="1" customWidth="1"/>
    <col min="22" max="22" width="14.33203125" customWidth="1"/>
    <col min="25" max="25" width="16.6640625" bestFit="1" customWidth="1"/>
    <col min="26" max="26" width="24.21875" bestFit="1" customWidth="1"/>
    <col min="27" max="27" width="16.77734375" bestFit="1" customWidth="1"/>
    <col min="28" max="28" width="14.21875" bestFit="1" customWidth="1"/>
    <col min="29" max="29" width="20.44140625" bestFit="1" customWidth="1"/>
    <col min="32" max="32" width="14" bestFit="1" customWidth="1"/>
    <col min="34" max="34" width="11.77734375" bestFit="1" customWidth="1"/>
    <col min="36" max="36" width="11.88671875" bestFit="1" customWidth="1"/>
    <col min="37" max="37" width="14" bestFit="1" customWidth="1"/>
    <col min="39" max="39" width="11.33203125" bestFit="1" customWidth="1"/>
    <col min="41" max="41" width="11.77734375" customWidth="1"/>
    <col min="42" max="42" width="14" bestFit="1" customWidth="1"/>
    <col min="44" max="44" width="11.33203125" bestFit="1" customWidth="1"/>
    <col min="47" max="47" width="14" bestFit="1" customWidth="1"/>
    <col min="49" max="49" width="11.33203125" bestFit="1" customWidth="1"/>
    <col min="52" max="52" width="14" bestFit="1" customWidth="1"/>
    <col min="54" max="54" width="11.33203125" bestFit="1" customWidth="1"/>
    <col min="56" max="56" width="11.77734375" bestFit="1" customWidth="1"/>
    <col min="57" max="57" width="14" bestFit="1" customWidth="1"/>
    <col min="59" max="59" width="11.33203125" bestFit="1" customWidth="1"/>
    <col min="61" max="61" width="11.109375" bestFit="1" customWidth="1"/>
  </cols>
  <sheetData>
    <row r="1" spans="1:63" x14ac:dyDescent="0.3">
      <c r="A1" s="11" t="s">
        <v>0</v>
      </c>
      <c r="B1" s="11"/>
      <c r="C1" s="11"/>
      <c r="D1" s="11"/>
      <c r="E1" s="11"/>
      <c r="F1" s="11"/>
      <c r="G1" s="1"/>
      <c r="H1" s="11" t="s">
        <v>1</v>
      </c>
      <c r="I1" s="11"/>
      <c r="J1" s="1"/>
      <c r="K1" s="11" t="s">
        <v>2</v>
      </c>
      <c r="L1" s="11"/>
      <c r="N1" s="11" t="s">
        <v>3</v>
      </c>
      <c r="O1" s="11"/>
      <c r="P1" s="11"/>
      <c r="R1" s="11" t="s">
        <v>4</v>
      </c>
      <c r="S1" s="11"/>
      <c r="U1" s="11" t="s">
        <v>5</v>
      </c>
      <c r="V1" s="11"/>
      <c r="X1" s="11" t="s">
        <v>6</v>
      </c>
      <c r="Y1" s="11"/>
      <c r="Z1" s="11"/>
      <c r="AA1" s="11"/>
      <c r="AB1" s="11"/>
      <c r="AC1" s="11"/>
      <c r="AE1" s="11" t="s">
        <v>7</v>
      </c>
      <c r="AF1" s="11"/>
      <c r="AG1" s="11"/>
      <c r="AH1" s="11"/>
      <c r="AJ1" s="11" t="s">
        <v>8</v>
      </c>
      <c r="AK1" s="11"/>
      <c r="AL1" s="11"/>
      <c r="AM1" s="11"/>
      <c r="AO1" s="11" t="s">
        <v>9</v>
      </c>
      <c r="AP1" s="11"/>
      <c r="AQ1" s="11"/>
      <c r="AR1" s="11"/>
      <c r="AT1" s="11" t="s">
        <v>10</v>
      </c>
      <c r="AU1" s="11"/>
      <c r="AV1" s="11"/>
      <c r="AW1" s="11"/>
      <c r="AY1" s="11" t="s">
        <v>11</v>
      </c>
      <c r="AZ1" s="11"/>
      <c r="BA1" s="11"/>
      <c r="BB1" s="11"/>
      <c r="BD1" s="11" t="s">
        <v>12</v>
      </c>
      <c r="BE1" s="11"/>
      <c r="BF1" s="11"/>
      <c r="BG1" s="11"/>
      <c r="BI1" s="12" t="s">
        <v>13</v>
      </c>
      <c r="BJ1" s="12"/>
      <c r="BK1" s="12"/>
    </row>
    <row r="2" spans="1:63" x14ac:dyDescent="0.3">
      <c r="A2" s="2"/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H2" s="2" t="s">
        <v>19</v>
      </c>
      <c r="I2" s="2" t="s">
        <v>14</v>
      </c>
      <c r="J2" s="3"/>
      <c r="K2" s="2"/>
      <c r="L2" s="2" t="s">
        <v>14</v>
      </c>
      <c r="N2" s="2" t="s">
        <v>20</v>
      </c>
      <c r="O2" s="2" t="s">
        <v>21</v>
      </c>
      <c r="P2" s="2" t="s">
        <v>22</v>
      </c>
      <c r="R2" s="2" t="s">
        <v>23</v>
      </c>
      <c r="S2" s="2" t="s">
        <v>14</v>
      </c>
      <c r="U2" s="2" t="s">
        <v>24</v>
      </c>
      <c r="V2" s="2" t="s">
        <v>25</v>
      </c>
      <c r="X2" s="2" t="s">
        <v>20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E2" s="2" t="s">
        <v>31</v>
      </c>
      <c r="AF2" s="2" t="s">
        <v>15</v>
      </c>
      <c r="AG2" s="2" t="s">
        <v>16</v>
      </c>
      <c r="AH2" s="2" t="s">
        <v>32</v>
      </c>
      <c r="AJ2" s="2" t="s">
        <v>33</v>
      </c>
      <c r="AK2" s="2" t="s">
        <v>15</v>
      </c>
      <c r="AL2" s="2" t="s">
        <v>16</v>
      </c>
      <c r="AM2" s="2" t="s">
        <v>14</v>
      </c>
      <c r="AO2" s="2" t="s">
        <v>34</v>
      </c>
      <c r="AP2" s="2" t="s">
        <v>15</v>
      </c>
      <c r="AQ2" s="2" t="s">
        <v>16</v>
      </c>
      <c r="AR2" s="2" t="s">
        <v>14</v>
      </c>
      <c r="AT2" s="2"/>
      <c r="AU2" s="2" t="s">
        <v>15</v>
      </c>
      <c r="AV2" s="2" t="s">
        <v>16</v>
      </c>
      <c r="AW2" s="2" t="s">
        <v>14</v>
      </c>
      <c r="AY2" s="2"/>
      <c r="AZ2" s="2" t="s">
        <v>15</v>
      </c>
      <c r="BA2" s="2" t="s">
        <v>16</v>
      </c>
      <c r="BB2" s="2" t="s">
        <v>14</v>
      </c>
      <c r="BD2" s="2"/>
      <c r="BE2" s="2" t="s">
        <v>15</v>
      </c>
      <c r="BF2" s="2" t="s">
        <v>16</v>
      </c>
      <c r="BG2" s="2" t="s">
        <v>14</v>
      </c>
      <c r="BI2" t="s">
        <v>35</v>
      </c>
      <c r="BJ2">
        <f>COUNTIFS([1]!tbl_HR_Clean[RetentionRiskBand], "High Risk")</f>
        <v>125</v>
      </c>
    </row>
    <row r="3" spans="1:63" x14ac:dyDescent="0.3">
      <c r="A3" s="2" t="s">
        <v>36</v>
      </c>
      <c r="B3" s="4">
        <f>AVERAGEIFS([1]!tbl_HR_Clean[Attrition_Flag],[1]!tbl_HR_Clean[Department],A3)</f>
        <v>0.19047619047619047</v>
      </c>
      <c r="C3" s="2">
        <f>COUNTIFS([1]!tbl_HR_Clean[Department],A3)</f>
        <v>63</v>
      </c>
      <c r="D3" s="2">
        <f>COUNTIFS([1]!tbl_HR_Clean[Department],A3,[1]!tbl_HR_Clean[Attrition], "Yes")</f>
        <v>12</v>
      </c>
      <c r="E3" s="2">
        <f>COUNTIFS([1]!tbl_HR_Clean[Department],A3,[1]!tbl_HR_Clean[Attrition],"No")</f>
        <v>51</v>
      </c>
      <c r="F3" s="2">
        <f>_xlfn.RANK.EQ(B3,$B$3:$B$5,0)</f>
        <v>2</v>
      </c>
      <c r="H3" s="2" t="s">
        <v>37</v>
      </c>
      <c r="I3" s="2">
        <f>_xlfn.XLOOKUP(H3,$A$3:$A$5,$B$3:$B$5,"Not Found")</f>
        <v>0.20627802690582961</v>
      </c>
      <c r="K3" s="2" t="s">
        <v>38</v>
      </c>
      <c r="L3" s="4">
        <f>AVERAGEIFS([1]!tbl_HR_Clean[Attrition_Flag],[1]!tbl_HR_Clean[JobRole],K3)</f>
        <v>0.17484662576687116</v>
      </c>
      <c r="N3" s="2" t="s">
        <v>39</v>
      </c>
      <c r="O3" s="5">
        <f>AVERAGEIFS([1]!tbl_HR_Clean[Age],[1]!tbl_HR_Clean[Attrition],N3)</f>
        <v>33.607594936708864</v>
      </c>
      <c r="P3" s="5">
        <f>AVERAGEIFS([1]!tbl_HR_Clean[MonthlyIncome],[1]!tbl_HR_Clean[Attrition],N3)</f>
        <v>4787.0928270042195</v>
      </c>
      <c r="R3" s="2" t="s">
        <v>39</v>
      </c>
      <c r="S3" s="6">
        <f>AVERAGEIFS([1]!tbl_HR_Clean[Attrition_Flag],[1]!tbl_HR_Clean[OverTime],R3)</f>
        <v>0.30528846153846156</v>
      </c>
      <c r="U3" s="2" t="s">
        <v>40</v>
      </c>
      <c r="V3" s="5">
        <f>AVERAGEIFS([1]!tbl_HR_Clean[MonthlyIncome],[1]!tbl_HR_Clean[Gender],U3)</f>
        <v>6380.5079365079364</v>
      </c>
      <c r="X3" s="2" t="s">
        <v>39</v>
      </c>
      <c r="Y3" s="7">
        <f>AVERAGEIFS([1]!tbl_HR_Clean[JobSatisfaction],[1]!tbl_HR_Clean[Attrition], "Yes")</f>
        <v>2.4683544303797467</v>
      </c>
      <c r="Z3" s="7">
        <f>AVERAGEIFS([1]!tbl_HR_Clean[EnvironmentSatisfaction],[1]!tbl_HR_Clean[Attrition], "Yes")</f>
        <v>2.4641350210970465</v>
      </c>
      <c r="AA3" s="7">
        <f>AVERAGEIFS([1]!tbl_HR_Clean[JobInvolvement],[1]!tbl_HR_Clean[Attrition], "Yes")</f>
        <v>2.518987341772152</v>
      </c>
      <c r="AB3" s="7">
        <f>AVERAGEIFS([1]!tbl_HR_Clean[WorkLifeBalance],[1]!tbl_HR_Clean[Attrition], "Yes")</f>
        <v>2.6582278481012658</v>
      </c>
      <c r="AC3" s="5">
        <f>AVERAGEIFS([1]!tbl_HR_Clean[CompensationRatio],[1]!tbl_HR_Clean[Attrition], "Yes")</f>
        <v>0.96430379746835426</v>
      </c>
      <c r="AE3" s="2" t="s">
        <v>41</v>
      </c>
      <c r="AF3" s="2">
        <f>COUNTIFS([1]!tbl_HR_Clean[AgeBand],AE3)</f>
        <v>97</v>
      </c>
      <c r="AG3" s="2">
        <f>COUNTIFS([1]!tbl_HR_Clean[AgeBand],AE3,[1]!tbl_HR_Clean[Attrition], "Yes")</f>
        <v>38</v>
      </c>
      <c r="AH3" s="4">
        <f>AG3/AF3</f>
        <v>0.39175257731958762</v>
      </c>
      <c r="AJ3" s="2" t="s">
        <v>42</v>
      </c>
      <c r="AK3" s="2">
        <f>COUNTIFS([1]!tbl_HR_Clean[IncomeBand],AJ3)</f>
        <v>749</v>
      </c>
      <c r="AL3" s="2">
        <f>COUNTIFS([1]!tbl_HR_Clean[IncomeBand],AJ3,[1]!tbl_HR_Clean[Attrition], "Yes")</f>
        <v>163</v>
      </c>
      <c r="AM3" s="4">
        <f>AL3/AK3</f>
        <v>0.21762349799732977</v>
      </c>
      <c r="AO3" s="2" t="s">
        <v>43</v>
      </c>
      <c r="AP3" s="2">
        <f>COUNTIFS([1]!tbl_HR_Clean[Tenure Band],AO3)</f>
        <v>470</v>
      </c>
      <c r="AQ3" s="2">
        <f>COUNTIFS([1]!tbl_HR_Clean[Tenure Band],AO3,[1]!tbl_HR_Clean[Attrition], "Yes")</f>
        <v>122</v>
      </c>
      <c r="AR3" s="4">
        <f>AQ3/AP3</f>
        <v>0.25957446808510637</v>
      </c>
      <c r="AT3" s="2" t="s">
        <v>44</v>
      </c>
      <c r="AU3" s="2">
        <f>COUNTIF([1]!tbl_HR_Clean[StockOptionLevel_Label],"None")</f>
        <v>631</v>
      </c>
      <c r="AV3" s="2">
        <f>COUNTIFS([1]!tbl_HR_Clean[StockOptionLevel_Label],AT3,[1]!tbl_HR_Clean[Attrition],"Yes")</f>
        <v>154</v>
      </c>
      <c r="AW3" s="4">
        <f>AV3/AU3</f>
        <v>0.24405705229793978</v>
      </c>
      <c r="AY3" s="2" t="s">
        <v>45</v>
      </c>
      <c r="AZ3" s="2">
        <f>COUNTIFS([1]!tbl_HR_Clean[WorkLifeBalance_Label],"Bad")</f>
        <v>80</v>
      </c>
      <c r="BA3" s="2">
        <f>COUNTIFS([1]!tbl_HR_Clean[WorkLifeBalance_Label],AY3,[1]!tbl_HR_Clean[Attrition], "Yes")</f>
        <v>25</v>
      </c>
      <c r="BB3" s="4">
        <f>BA3/AZ3</f>
        <v>0.3125</v>
      </c>
      <c r="BD3" s="2" t="s">
        <v>46</v>
      </c>
      <c r="BE3" s="2">
        <f>COUNTIF([1]!tbl_HR_Clean[JobSatisfaction_Label], BD3)</f>
        <v>289</v>
      </c>
      <c r="BF3" s="2">
        <f>COUNTIFS([1]!tbl_HR_Clean[JobSatisfaction_Label],BD3,[1]!tbl_HR_Clean[Attrition], "Yes")</f>
        <v>66</v>
      </c>
      <c r="BG3" s="4">
        <f>BF3/BE3</f>
        <v>0.22837370242214533</v>
      </c>
      <c r="BI3" t="s">
        <v>47</v>
      </c>
      <c r="BJ3">
        <f>COUNTIFS([1]!tbl_HR_Clean[RetentionRiskBand], "Medium Risk")</f>
        <v>721</v>
      </c>
    </row>
    <row r="4" spans="1:63" x14ac:dyDescent="0.3">
      <c r="A4" s="2" t="s">
        <v>48</v>
      </c>
      <c r="B4" s="4">
        <f>AVERAGEIFS([1]!tbl_HR_Clean[Attrition_Flag],[1]!tbl_HR_Clean[Department],A4)</f>
        <v>0.13839750260145681</v>
      </c>
      <c r="C4" s="2">
        <f>COUNTIFS([1]!tbl_HR_Clean[Department],A4)</f>
        <v>961</v>
      </c>
      <c r="D4" s="2">
        <f>COUNTIFS([1]!tbl_HR_Clean[Department],A4,[1]!tbl_HR_Clean[Attrition], "Yes")</f>
        <v>133</v>
      </c>
      <c r="E4" s="2">
        <f>COUNTIFS([1]!tbl_HR_Clean[Department],A4,[1]!tbl_HR_Clean[Attrition],"No")</f>
        <v>828</v>
      </c>
      <c r="F4" s="2">
        <f>_xlfn.RANK.EQ(B4,$B$3:$B$5,0)</f>
        <v>3</v>
      </c>
      <c r="K4" s="2" t="s">
        <v>49</v>
      </c>
      <c r="L4" s="4">
        <f>AVERAGEIFS([1]!tbl_HR_Clean[Attrition_Flag],[1]!tbl_HR_Clean[JobRole],K4)</f>
        <v>0.16095890410958905</v>
      </c>
      <c r="N4" s="2" t="s">
        <v>50</v>
      </c>
      <c r="O4" s="5">
        <f>AVERAGEIFS([1]!tbl_HR_Clean[Age],[1]!tbl_HR_Clean[Attrition],N4)</f>
        <v>37.561232765612324</v>
      </c>
      <c r="P4" s="5">
        <f>AVERAGEIFS([1]!tbl_HR_Clean[MonthlyIncome],[1]!tbl_HR_Clean[Attrition],N4)</f>
        <v>6832.7396593673966</v>
      </c>
      <c r="R4" s="2" t="s">
        <v>50</v>
      </c>
      <c r="S4" s="6">
        <f>AVERAGEIFS([1]!tbl_HR_Clean[Attrition_Flag],[1]!tbl_HR_Clean[OverTime],R4)</f>
        <v>0.10436432637571158</v>
      </c>
      <c r="U4" s="2" t="s">
        <v>51</v>
      </c>
      <c r="V4" s="5">
        <f>AVERAGEIFS([1]!tbl_HR_Clean[MonthlyIncome],[1]!tbl_HR_Clean[Gender],U4)</f>
        <v>6686.5663265306121</v>
      </c>
      <c r="X4" s="2" t="s">
        <v>50</v>
      </c>
      <c r="Y4" s="7">
        <f>AVERAGEIFS([1]!tbl_HR_Clean[JobSatisfaction],[1]!tbl_HR_Clean[Attrition], "No")</f>
        <v>2.778588807785888</v>
      </c>
      <c r="Z4" s="7">
        <f>AVERAGEIFS([1]!tbl_HR_Clean[EnvironmentSatisfaction],[1]!tbl_HR_Clean[Attrition], "No")</f>
        <v>2.7712895377128954</v>
      </c>
      <c r="AA4" s="7">
        <f>AVERAGEIFS([1]!tbl_HR_Clean[JobInvolvement],[1]!tbl_HR_Clean[Attrition], "No")</f>
        <v>2.7704785077047851</v>
      </c>
      <c r="AB4" s="7">
        <f>AVERAGEIFS([1]!tbl_HR_Clean[WorkLifeBalance],[1]!tbl_HR_Clean[Attrition], "No")</f>
        <v>2.781021897810219</v>
      </c>
      <c r="AC4" s="5">
        <f>AVERAGEIFS([1]!tbl_HR_Clean[CompensationRatio],[1]!tbl_HR_Clean[Attrition], "No")</f>
        <v>1.006877534468775</v>
      </c>
      <c r="AE4" s="2" t="s">
        <v>52</v>
      </c>
      <c r="AF4" s="2">
        <f>COUNTIFS([1]!tbl_HR_Clean[AgeBand],AE4)</f>
        <v>554</v>
      </c>
      <c r="AG4" s="2">
        <f>COUNTIFS([1]!tbl_HR_Clean[AgeBand],AE4,[1]!tbl_HR_Clean[Attrition], "Yes")</f>
        <v>112</v>
      </c>
      <c r="AH4" s="4">
        <f t="shared" ref="AH4:AH7" si="0">AG4/AF4</f>
        <v>0.20216606498194944</v>
      </c>
      <c r="AJ4" s="2" t="s">
        <v>53</v>
      </c>
      <c r="AK4" s="2">
        <f>COUNTIFS([1]!tbl_HR_Clean[IncomeBand],AJ4)</f>
        <v>440</v>
      </c>
      <c r="AL4" s="2">
        <f>COUNTIFS([1]!tbl_HR_Clean[IncomeBand],AJ4,[1]!tbl_HR_Clean[Attrition], "Yes")</f>
        <v>49</v>
      </c>
      <c r="AM4" s="4">
        <f t="shared" ref="AM4:AM6" si="1">AL4/AK4</f>
        <v>0.11136363636363636</v>
      </c>
      <c r="AO4" s="2" t="s">
        <v>54</v>
      </c>
      <c r="AP4" s="2">
        <f>COUNTIFS([1]!tbl_HR_Clean[Tenure Band],AO4)</f>
        <v>382</v>
      </c>
      <c r="AQ4" s="2">
        <f>COUNTIFS([1]!tbl_HR_Clean[Tenure Band],AO4,[1]!tbl_HR_Clean[Attrition], "Yes")</f>
        <v>49</v>
      </c>
      <c r="AR4" s="4">
        <f t="shared" ref="AR4:AR7" si="2">AQ4/AP4</f>
        <v>0.12827225130890052</v>
      </c>
      <c r="AT4" s="2" t="s">
        <v>55</v>
      </c>
      <c r="AU4" s="2">
        <f>COUNTIF([1]!tbl_HR_Clean[StockOptionLevel_Label], "Low")</f>
        <v>754</v>
      </c>
      <c r="AV4" s="2">
        <f>COUNTIFS([1]!tbl_HR_Clean[StockOptionLevel_Label],AT4,[1]!tbl_HR_Clean[Attrition],"Yes")</f>
        <v>68</v>
      </c>
      <c r="AW4" s="4">
        <f t="shared" ref="AW4:AW5" si="3">AV4/AU4</f>
        <v>9.0185676392572939E-2</v>
      </c>
      <c r="AY4" s="2" t="s">
        <v>56</v>
      </c>
      <c r="AZ4" s="2">
        <f>COUNTIFS([1]!tbl_HR_Clean[WorkLifeBalance_Label],"Fair")</f>
        <v>344</v>
      </c>
      <c r="BA4" s="2">
        <f>COUNTIFS([1]!tbl_HR_Clean[WorkLifeBalance_Label],AY4,[1]!tbl_HR_Clean[Attrition], "Yes")</f>
        <v>58</v>
      </c>
      <c r="BB4" s="4">
        <f t="shared" ref="BB4:BB6" si="4">BA4/AZ4</f>
        <v>0.16860465116279069</v>
      </c>
      <c r="BD4" s="2" t="s">
        <v>57</v>
      </c>
      <c r="BE4" s="2">
        <f>COUNTIF([1]!tbl_HR_Clean[JobSatisfaction_Label], BD4)</f>
        <v>280</v>
      </c>
      <c r="BF4" s="2">
        <f>COUNTIFS([1]!tbl_HR_Clean[JobSatisfaction_Label],BD4,[1]!tbl_HR_Clean[Attrition], "Yes")</f>
        <v>46</v>
      </c>
      <c r="BG4" s="4">
        <f t="shared" ref="BG4:BG6" si="5">BF4/BE4</f>
        <v>0.16428571428571428</v>
      </c>
      <c r="BI4" t="s">
        <v>58</v>
      </c>
      <c r="BJ4">
        <f>COUNTIFS([1]!tbl_HR_Clean[RetentionRiskBand],"Low Risk")</f>
        <v>624</v>
      </c>
    </row>
    <row r="5" spans="1:63" x14ac:dyDescent="0.3">
      <c r="A5" s="2" t="s">
        <v>37</v>
      </c>
      <c r="B5" s="4">
        <f>AVERAGEIFS([1]!tbl_HR_Clean[Attrition_Flag],[1]!tbl_HR_Clean[Department],A5)</f>
        <v>0.20627802690582961</v>
      </c>
      <c r="C5" s="2">
        <f>COUNTIFS([1]!tbl_HR_Clean[Department],A5)</f>
        <v>446</v>
      </c>
      <c r="D5" s="2">
        <f>COUNTIFS([1]!tbl_HR_Clean[Department],A5,[1]!tbl_HR_Clean[Attrition], "Yes")</f>
        <v>92</v>
      </c>
      <c r="E5" s="2">
        <f>COUNTIFS([1]!tbl_HR_Clean[Department],A5,[1]!tbl_HR_Clean[Attrition],"No")</f>
        <v>354</v>
      </c>
      <c r="F5" s="2">
        <f>_xlfn.RANK.EQ(B5,$B$3:$B$5,0)</f>
        <v>1</v>
      </c>
      <c r="K5" s="2" t="s">
        <v>59</v>
      </c>
      <c r="L5" s="4">
        <f>AVERAGEIFS([1]!tbl_HR_Clean[Attrition_Flag],[1]!tbl_HR_Clean[JobRole],K5)</f>
        <v>0.23938223938223938</v>
      </c>
      <c r="U5" s="2"/>
      <c r="V5" s="2"/>
      <c r="AE5" s="2" t="s">
        <v>60</v>
      </c>
      <c r="AF5" s="2">
        <f>COUNTIFS([1]!tbl_HR_Clean[AgeBand],AE5)</f>
        <v>505</v>
      </c>
      <c r="AG5" s="2">
        <f>COUNTIFS([1]!tbl_HR_Clean[AgeBand],AE5,[1]!tbl_HR_Clean[Attrition], "Yes")</f>
        <v>51</v>
      </c>
      <c r="AH5" s="4">
        <f t="shared" si="0"/>
        <v>0.100990099009901</v>
      </c>
      <c r="AJ5" s="2" t="s">
        <v>61</v>
      </c>
      <c r="AK5" s="2">
        <f>COUNTIFS([1]!tbl_HR_Clean[IncomeBand],AJ5)</f>
        <v>148</v>
      </c>
      <c r="AL5" s="2">
        <f>COUNTIFS([1]!tbl_HR_Clean[IncomeBand],AJ5,[1]!tbl_HR_Clean[Attrition], "Yes")</f>
        <v>20</v>
      </c>
      <c r="AM5" s="4">
        <f t="shared" si="1"/>
        <v>0.13513513513513514</v>
      </c>
      <c r="AO5" s="2" t="s">
        <v>62</v>
      </c>
      <c r="AP5" s="2">
        <f>COUNTIFS([1]!tbl_HR_Clean[Tenure Band],AO5)</f>
        <v>372</v>
      </c>
      <c r="AQ5" s="2">
        <f>COUNTIFS([1]!tbl_HR_Clean[Tenure Band],AO5,[1]!tbl_HR_Clean[Attrition], "Yes")</f>
        <v>46</v>
      </c>
      <c r="AR5" s="4">
        <f t="shared" si="2"/>
        <v>0.12365591397849462</v>
      </c>
      <c r="AT5" s="2" t="s">
        <v>63</v>
      </c>
      <c r="AU5" s="2">
        <f>COUNTIF([1]!tbl_HR_Clean[StockOptionLevel_Label],"High")</f>
        <v>85</v>
      </c>
      <c r="AV5" s="2">
        <f>COUNTIFS([1]!tbl_HR_Clean[StockOptionLevel_Label],AT5,[1]!tbl_HR_Clean[Attrition],"Yes")</f>
        <v>15</v>
      </c>
      <c r="AW5" s="4">
        <f t="shared" si="3"/>
        <v>0.17647058823529413</v>
      </c>
      <c r="AY5" s="2" t="s">
        <v>64</v>
      </c>
      <c r="AZ5" s="2">
        <f>COUNTIFS([1]!tbl_HR_Clean[WorkLifeBalance_Label],"Good")</f>
        <v>893</v>
      </c>
      <c r="BA5" s="2">
        <f>COUNTIFS([1]!tbl_HR_Clean[WorkLifeBalance_Label],AY5,[1]!tbl_HR_Clean[Attrition], "Yes")</f>
        <v>127</v>
      </c>
      <c r="BB5" s="4">
        <f t="shared" si="4"/>
        <v>0.14221724524076149</v>
      </c>
      <c r="BD5" s="2" t="s">
        <v>65</v>
      </c>
      <c r="BE5" s="2">
        <f>COUNTIF([1]!tbl_HR_Clean[JobSatisfaction_Label], BD5)</f>
        <v>442</v>
      </c>
      <c r="BF5" s="2">
        <f>COUNTIFS([1]!tbl_HR_Clean[JobSatisfaction_Label],BD5,[1]!tbl_HR_Clean[Attrition], "Yes")</f>
        <v>73</v>
      </c>
      <c r="BG5" s="4">
        <f t="shared" si="5"/>
        <v>0.16515837104072398</v>
      </c>
    </row>
    <row r="6" spans="1:63" ht="43.2" x14ac:dyDescent="0.3">
      <c r="K6" s="2" t="s">
        <v>66</v>
      </c>
      <c r="L6" s="4">
        <f>AVERAGEIFS([1]!tbl_HR_Clean[Attrition_Flag],[1]!tbl_HR_Clean[JobRole],K6)</f>
        <v>6.8965517241379309E-2</v>
      </c>
      <c r="U6" s="8" t="s">
        <v>67</v>
      </c>
      <c r="V6" s="9">
        <f>(V3-V4)/V3</f>
        <v>-4.7967715590709219E-2</v>
      </c>
      <c r="AE6" s="2" t="s">
        <v>68</v>
      </c>
      <c r="AF6" s="2">
        <f>COUNTIFS([1]!tbl_HR_Clean[AgeBand],AE6)</f>
        <v>245</v>
      </c>
      <c r="AG6" s="2">
        <f>COUNTIFS([1]!tbl_HR_Clean[AgeBand],AE6,[1]!tbl_HR_Clean[Attrition], "Yes")</f>
        <v>25</v>
      </c>
      <c r="AH6" s="4">
        <f t="shared" si="0"/>
        <v>0.10204081632653061</v>
      </c>
      <c r="AJ6" s="2" t="s">
        <v>69</v>
      </c>
      <c r="AK6" s="2">
        <f>COUNTIFS([1]!tbl_HR_Clean[IncomeBand],AJ6)</f>
        <v>133</v>
      </c>
      <c r="AL6" s="2">
        <f>COUNTIFS([1]!tbl_HR_Clean[IncomeBand],AJ6,[1]!tbl_HR_Clean[Attrition], "Yes")</f>
        <v>5</v>
      </c>
      <c r="AM6" s="4">
        <f t="shared" si="1"/>
        <v>3.7593984962406013E-2</v>
      </c>
      <c r="AO6" s="2" t="s">
        <v>70</v>
      </c>
      <c r="AP6" s="2">
        <f>COUNTIFS([1]!tbl_HR_Clean[Tenure Band],AO6)</f>
        <v>108</v>
      </c>
      <c r="AQ6" s="2">
        <f>COUNTIFS([1]!tbl_HR_Clean[Tenure Band],AO6,[1]!tbl_HR_Clean[Attrition], "Yes")</f>
        <v>7</v>
      </c>
      <c r="AR6" s="4">
        <f t="shared" si="2"/>
        <v>6.4814814814814811E-2</v>
      </c>
      <c r="AY6" s="2" t="s">
        <v>71</v>
      </c>
      <c r="AZ6" s="2">
        <f>COUNTIFS([1]!tbl_HR_Clean[WorkLifeBalance_Label],"Better")</f>
        <v>153</v>
      </c>
      <c r="BA6" s="2">
        <f>COUNTIFS([1]!tbl_HR_Clean[WorkLifeBalance_Label],AY6,[1]!tbl_HR_Clean[Attrition], "Yes")</f>
        <v>27</v>
      </c>
      <c r="BB6" s="4">
        <f t="shared" si="4"/>
        <v>0.17647058823529413</v>
      </c>
      <c r="BD6" s="2" t="s">
        <v>72</v>
      </c>
      <c r="BE6" s="2">
        <f>COUNTIF([1]!tbl_HR_Clean[JobSatisfaction_Label], BD6)</f>
        <v>459</v>
      </c>
      <c r="BF6" s="2">
        <f>COUNTIFS([1]!tbl_HR_Clean[JobSatisfaction_Label],BD6,[1]!tbl_HR_Clean[Attrition], "Yes")</f>
        <v>52</v>
      </c>
      <c r="BG6" s="4">
        <f t="shared" si="5"/>
        <v>0.11328976034858387</v>
      </c>
    </row>
    <row r="7" spans="1:63" x14ac:dyDescent="0.3">
      <c r="K7" s="2" t="s">
        <v>73</v>
      </c>
      <c r="L7" s="4">
        <f>AVERAGEIFS([1]!tbl_HR_Clean[Attrition_Flag],[1]!tbl_HR_Clean[JobRole],K7)</f>
        <v>6.8702290076335881E-2</v>
      </c>
      <c r="AE7" s="2" t="s">
        <v>74</v>
      </c>
      <c r="AF7" s="2">
        <f>COUNTIFS([1]!tbl_HR_Clean[AgeBand],AE7)</f>
        <v>69</v>
      </c>
      <c r="AG7" s="2">
        <f>COUNTIFS([1]!tbl_HR_Clean[AgeBand],AE7,[1]!tbl_HR_Clean[Attrition], "Yes")</f>
        <v>11</v>
      </c>
      <c r="AH7" s="4">
        <f t="shared" si="0"/>
        <v>0.15942028985507245</v>
      </c>
      <c r="AO7" s="2" t="s">
        <v>75</v>
      </c>
      <c r="AP7" s="2">
        <f>COUNTIFS([1]!tbl_HR_Clean[Tenure Band],AO7)</f>
        <v>138</v>
      </c>
      <c r="AQ7" s="2">
        <f>COUNTIFS([1]!tbl_HR_Clean[Tenure Band],AO7,[1]!tbl_HR_Clean[Attrition], "Yes")</f>
        <v>13</v>
      </c>
      <c r="AR7" s="4">
        <f t="shared" si="2"/>
        <v>9.420289855072464E-2</v>
      </c>
    </row>
    <row r="8" spans="1:63" x14ac:dyDescent="0.3">
      <c r="K8" s="2" t="s">
        <v>76</v>
      </c>
      <c r="L8" s="4">
        <f>AVERAGEIFS([1]!tbl_HR_Clean[Attrition_Flag],[1]!tbl_HR_Clean[JobRole],K8)</f>
        <v>4.9019607843137254E-2</v>
      </c>
    </row>
    <row r="9" spans="1:63" x14ac:dyDescent="0.3">
      <c r="K9" s="2" t="s">
        <v>77</v>
      </c>
      <c r="L9" s="4">
        <f>AVERAGEIFS([1]!tbl_HR_Clean[Attrition_Flag],[1]!tbl_HR_Clean[JobRole],K9)</f>
        <v>0.39759036144578314</v>
      </c>
    </row>
    <row r="10" spans="1:63" x14ac:dyDescent="0.3">
      <c r="K10" s="2" t="s">
        <v>78</v>
      </c>
      <c r="L10" s="4">
        <f>AVERAGEIFS([1]!tbl_HR_Clean[Attrition_Flag],[1]!tbl_HR_Clean[JobRole],K10)</f>
        <v>2.5000000000000001E-2</v>
      </c>
    </row>
    <row r="11" spans="1:63" x14ac:dyDescent="0.3">
      <c r="K11" s="2" t="s">
        <v>36</v>
      </c>
      <c r="L11" s="4">
        <f>AVERAGEIFS([1]!tbl_HR_Clean[Attrition_Flag],[1]!tbl_HR_Clean[JobRole],K11)</f>
        <v>0.23076923076923078</v>
      </c>
    </row>
    <row r="14" spans="1:63" x14ac:dyDescent="0.3">
      <c r="D14" t="s">
        <v>79</v>
      </c>
    </row>
    <row r="15" spans="1:63" x14ac:dyDescent="0.3">
      <c r="D15" s="10">
        <f>D3/C3</f>
        <v>0.19047619047619047</v>
      </c>
      <c r="E15" s="10"/>
      <c r="F15" s="10"/>
      <c r="G15" s="10"/>
      <c r="H15" s="10"/>
      <c r="I15" s="10"/>
      <c r="J15" s="10"/>
    </row>
    <row r="16" spans="1:63" x14ac:dyDescent="0.3">
      <c r="D16" s="10">
        <f t="shared" ref="D16:D17" si="6">D4/C4</f>
        <v>0.13839750260145681</v>
      </c>
      <c r="E16" s="10"/>
      <c r="F16" s="10"/>
      <c r="G16" s="10"/>
      <c r="H16" s="10"/>
      <c r="I16" s="10"/>
      <c r="J16" s="10"/>
    </row>
    <row r="17" spans="4:10" x14ac:dyDescent="0.3">
      <c r="D17" s="10">
        <f t="shared" si="6"/>
        <v>0.20627802690582961</v>
      </c>
      <c r="E17" s="10"/>
      <c r="F17" s="10"/>
      <c r="G17" s="10"/>
      <c r="H17" s="10"/>
      <c r="I17" s="10"/>
      <c r="J17" s="10"/>
    </row>
  </sheetData>
  <mergeCells count="14">
    <mergeCell ref="U1:V1"/>
    <mergeCell ref="A1:F1"/>
    <mergeCell ref="H1:I1"/>
    <mergeCell ref="K1:L1"/>
    <mergeCell ref="N1:P1"/>
    <mergeCell ref="R1:S1"/>
    <mergeCell ref="BD1:BG1"/>
    <mergeCell ref="BI1:BK1"/>
    <mergeCell ref="X1:AC1"/>
    <mergeCell ref="AE1:AH1"/>
    <mergeCell ref="AJ1:AM1"/>
    <mergeCell ref="AO1:AR1"/>
    <mergeCell ref="AT1:AW1"/>
    <mergeCell ref="AY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Nonye OG</dc:creator>
  <cp:lastModifiedBy>Nonye OG</cp:lastModifiedBy>
  <dcterms:created xsi:type="dcterms:W3CDTF">2026-04-03T21:06:11Z</dcterms:created>
  <dcterms:modified xsi:type="dcterms:W3CDTF">2026-04-05T19:24:44Z</dcterms:modified>
</cp:coreProperties>
</file>